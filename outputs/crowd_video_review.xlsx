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c2de1c3de4e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e2cf104284a442aa"/>
    <x:sheet xmlns:r="http://schemas.openxmlformats.org/officeDocument/2006/relationships" name="Candidates" sheetId="2" r:id="Rc3cfff36a74d44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17324D"/>
      <x:name val="Arial"/>
    </x:font>
    <x:font>
      <x:i/>
      <x:sz val="10"/>
      <x:color rgb="FF526B84"/>
      <x:name val="Arial"/>
    </x:font>
    <x:font>
      <x:b/>
      <x:sz val="11"/>
      <x:color rgb="FF17324D"/>
      <x:name val="Arial"/>
    </x:font>
    <x:font>
      <x:b/>
      <x:sz val="11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17324D"/>
      <x:name val="Arial"/>
    </x:font>
    <x:font>
      <x:b/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17324D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2" borderId="1" xfId="0" applyNumberFormat="1" applyFont="1" applyFill="1" applyBorder="1"/>
    <x:xf numFmtId="0" fontId="8" fillId="0" borderId="1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 wrapText="1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9" fillId="3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e8abce96f644ea" /><Relationship Type="http://schemas.openxmlformats.org/officeDocument/2006/relationships/theme" Target="/xl/theme/theme1.xml" Id="R676136d8c9874e73" /><Relationship Type="http://schemas.openxmlformats.org/officeDocument/2006/relationships/sharedStrings" Target="/xl/sharedStrings.xml" Id="R83a6135a9dd84321" /><Relationship Type="http://schemas.openxmlformats.org/officeDocument/2006/relationships/worksheet" Target="/xl/worksheets/sheet1.xml" Id="Re2cf104284a442aa" /><Relationship Type="http://schemas.openxmlformats.org/officeDocument/2006/relationships/worksheet" Target="/xl/worksheets/sheet2.xml" Id="Rc3cfff36a74d44f1" /></Relationships>
</file>

<file path=xl/tables/table1.xml><?xml version="1.0" encoding="utf-8"?>
<x:table xmlns:x="http://schemas.openxmlformats.org/spreadsheetml/2006/main" id="1" name="CandidateVideosTable" displayName="CandidateVideosTable" ref="A1:O11" headerRowCount="1" totalsRowCount="0" totalsRowShown="0">
  <x:tableColumns count="15">
    <x:tableColumn id="1" name="ID"/>
    <x:tableColumn id="2" name="Candidate"/>
    <x:tableColumn id="3" name="Purpose"/>
    <x:tableColumn id="4" name="Event / motion"/>
    <x:tableColumn id="5" name="Source type"/>
    <x:tableColumn id="6" name="Source URL"/>
    <x:tableColumn id="7" name="Rights status"/>
    <x:tableColumn id="8" name="Graphic risk"/>
    <x:tableColumn id="9" name="Download status"/>
    <x:tableColumn id="10" name="Reviewer decision"/>
    <x:tableColumn id="11" name="Reviewer notes"/>
    <x:tableColumn id="12" name="View / camera"/>
    <x:tableColumn id="13" name="Crowd condition"/>
    <x:tableColumn id="14" name="Suggested tier"/>
    <x:tableColumn id="15" name="AI recommen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c9551b0a9a4d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12"/>
      <x:c r="B1" s="12"/>
      <x:c r="C1" s="12"/>
      <x:c r="D1" s="12"/>
      <x:c r="E1" s="12"/>
      <x:c r="F1" s="12"/>
    </x:row>
    <x:row r="2">
      <x:c r="A2" s="13" t="str">
        <x:v>Crowd Video Review</x:v>
      </x:c>
      <x:c r="B2" s="13"/>
      <x:c r="C2" s="13"/>
      <x:c r="D2" s="13"/>
      <x:c r="E2" s="13"/>
      <x:c r="F2" s="13"/>
    </x:row>
    <x:row r="3">
      <x:c r="A3" s="2" t="str">
        <x:v>Karthikeyan review gate for candidate footage. Do not download copyrighted or graphic material.</x:v>
      </x:c>
      <x:c r="B3" s="2"/>
      <x:c r="C3" s="2"/>
      <x:c r="D3" s="2"/>
      <x:c r="E3" s="2"/>
      <x:c r="F3" s="2"/>
    </x:row>
    <x:row r="4">
      <x:c r="A4" s="12"/>
      <x:c r="B4" s="12"/>
      <x:c r="C4" s="12"/>
      <x:c r="D4" s="12"/>
      <x:c r="E4" s="12"/>
      <x:c r="F4" s="12"/>
    </x:row>
    <x:row r="5">
      <x:c r="A5" s="14" t="str">
        <x:v>Candidate count</x:v>
      </x:c>
      <x:c r="B5" s="15" t="n">
        <x:v>10</x:v>
      </x:c>
      <x:c r="C5" s="12"/>
      <x:c r="D5" s="12"/>
      <x:c r="E5" s="12"/>
      <x:c r="F5" s="12"/>
    </x:row>
    <x:row r="6">
      <x:c r="A6" s="14" t="str">
        <x:v>Downloaded</x:v>
      </x:c>
      <x:c r="B6" s="15" t="n">
        <x:f>COUNTIF(Candidates!$I$2:$I$100,"Downloaded")</x:f>
        <x:v>1</x:v>
      </x:c>
      <x:c r="C6" s="12"/>
      <x:c r="D6" s="12"/>
      <x:c r="E6" s="12"/>
      <x:c r="F6" s="12"/>
    </x:row>
    <x:row r="7">
      <x:c r="A7" s="14" t="str">
        <x:v>Approved</x:v>
      </x:c>
      <x:c r="B7" s="15" t="n">
        <x:f>COUNTIF(Candidates!$J$2:$J$100,"Approve")</x:f>
        <x:v>5</x:v>
      </x:c>
      <x:c r="C7" s="12"/>
      <x:c r="D7" s="12"/>
      <x:c r="E7" s="12"/>
      <x:c r="F7" s="12"/>
    </x:row>
    <x:row r="8">
      <x:c r="A8" s="14" t="str">
        <x:v>Rejected</x:v>
      </x:c>
      <x:c r="B8" s="15" t="n">
        <x:f>COUNTIF(Candidates!$J$2:$J$100,"Reject")</x:f>
        <x:v>0</x:v>
      </x:c>
      <x:c r="C8" s="12"/>
      <x:c r="D8" s="12"/>
      <x:c r="E8" s="12"/>
      <x:c r="F8" s="12"/>
    </x:row>
    <x:row r="9">
      <x:c r="A9" s="14" t="str">
        <x:v>Pending review</x:v>
      </x:c>
      <x:c r="B9" s="15" t="n">
        <x:f>COUNTIF(Candidates!$J$2:$J$100,"Pending")</x:f>
        <x:v>1</x:v>
      </x:c>
      <x:c r="C9" s="12"/>
      <x:c r="D9" s="12"/>
      <x:c r="E9" s="12"/>
      <x:c r="F9" s="12"/>
    </x:row>
    <x:row r="10">
      <x:c r="A10" s="12"/>
      <x:c r="B10" s="12"/>
      <x:c r="C10" s="12"/>
      <x:c r="D10" s="12"/>
      <x:c r="E10" s="12"/>
      <x:c r="F10" s="12"/>
    </x:row>
    <x:row r="11">
      <x:c r="A11" s="16" t="str">
        <x:v>Review rules</x:v>
      </x:c>
      <x:c r="B11" s="16" t="str"/>
      <x:c r="C11" s="16" t="str"/>
      <x:c r="D11" s="16" t="str"/>
      <x:c r="E11" s="16" t="str"/>
      <x:c r="F11" s="16" t="str"/>
    </x:row>
    <x:row r="12" ht="28" customHeight="1">
      <x:c r="A12" s="17" t="str">
        <x:v>1</x:v>
      </x:c>
      <x:c r="B12" s="17" t="str">
        <x:v>Approve only clear, non-graphic footage with usable camera angle and provenance.</x:v>
      </x:c>
      <x:c r="C12" s="17" t="str"/>
      <x:c r="D12" s="17" t="str"/>
      <x:c r="E12" s="17" t="str"/>
      <x:c r="F12" s="17" t="str"/>
    </x:row>
    <x:row r="13" ht="28" customHeight="1">
      <x:c r="A13" s="17" t="str">
        <x:v>2</x:v>
      </x:c>
      <x:c r="B13" s="17" t="str">
        <x:v>Do not download YouTube/news footage unless the rights holder grants permission.</x:v>
      </x:c>
      <x:c r="C13" s="17" t="str"/>
      <x:c r="D13" s="17" t="str"/>
      <x:c r="E13" s="17" t="str"/>
      <x:c r="F13" s="17" t="str"/>
    </x:row>
    <x:row r="14" ht="28" customHeight="1">
      <x:c r="A14" s="17" t="str">
        <x:v>3</x:v>
      </x:c>
      <x:c r="B14" s="17" t="str">
        <x:v>UMN is a motion-anomaly benchmark, not stampede ground truth.</x:v>
      </x:c>
      <x:c r="C14" s="17" t="str"/>
      <x:c r="D14" s="17" t="str"/>
      <x:c r="E14" s="17" t="str"/>
      <x:c r="F14" s="17" t="str"/>
    </x:row>
    <x:row r="15" ht="28" customHeight="1">
      <x:c r="A15" s="17" t="str">
        <x:v>4</x:v>
      </x:c>
      <x:c r="B15" s="17" t="str">
        <x:v>Use final approved footage for reviewed risk windows, not automatic incident labels.</x:v>
      </x:c>
      <x:c r="C15" s="17" t="str"/>
      <x:c r="D15" s="17" t="str"/>
      <x:c r="E15" s="17" t="str"/>
      <x:c r="F15" s="17" t="str"/>
    </x:row>
  </x:sheetData>
  <x:mergeCells>
    <x:mergeCell ref="A2:F2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5" hidden="0" customWidth="1"/>
    <x:col min="4" max="4" width="34" hidden="0" customWidth="1"/>
    <x:col min="5" max="5" width="23" hidden="0" customWidth="1"/>
    <x:col min="6" max="6" width="55" hidden="0" customWidth="1"/>
    <x:col min="7" max="7" width="36" hidden="0" customWidth="1"/>
    <x:col min="8" max="8" width="14" hidden="0" customWidth="1"/>
    <x:col min="9" max="9" width="19" hidden="0" customWidth="1"/>
    <x:col min="10" max="10" width="19" hidden="0" customWidth="1"/>
    <x:col min="11" max="11" width="42" hidden="0" customWidth="1"/>
    <x:col min="12" max="12" width="23" hidden="0" customWidth="1"/>
    <x:col min="13" max="13" width="27" hidden="0" customWidth="1"/>
    <x:col min="14" max="14" width="18" hidden="0" customWidth="1"/>
    <x:col min="15" max="15" width="22" hidden="0" customWidth="1"/>
  </x:cols>
  <x:sheetData>
    <x:row r="1" ht="34" customHeight="1">
      <x:c r="A1" s="23" t="str">
        <x:v>ID</x:v>
      </x:c>
      <x:c r="B1" s="23" t="str">
        <x:v>Candidate</x:v>
      </x:c>
      <x:c r="C1" s="23" t="str">
        <x:v>Purpose</x:v>
      </x:c>
      <x:c r="D1" s="23" t="str">
        <x:v>Event / motion</x:v>
      </x:c>
      <x:c r="E1" s="23" t="str">
        <x:v>Source type</x:v>
      </x:c>
      <x:c r="F1" s="23" t="str">
        <x:v>Source URL</x:v>
      </x:c>
      <x:c r="G1" s="23" t="str">
        <x:v>Rights status</x:v>
      </x:c>
      <x:c r="H1" s="23" t="str">
        <x:v>Graphic risk</x:v>
      </x:c>
      <x:c r="I1" s="23" t="str">
        <x:v>Download status</x:v>
      </x:c>
      <x:c r="J1" s="23" t="str">
        <x:v>Reviewer decision</x:v>
      </x:c>
      <x:c r="K1" s="23" t="str">
        <x:v>Reviewer notes</x:v>
      </x:c>
      <x:c r="L1" s="23" t="str">
        <x:v>View / camera</x:v>
      </x:c>
      <x:c r="M1" s="23" t="str">
        <x:v>Crowd condition</x:v>
      </x:c>
      <x:c r="N1" s="23" t="str">
        <x:v>Suggested tier</x:v>
      </x:c>
      <x:c r="O1" s="23" t="str">
        <x:v>AI recommendation</x:v>
      </x:c>
    </x:row>
    <x:row r="2" ht="44" customHeight="1">
      <x:c r="A2" s="24" t="str">
        <x:v>UMN-01</x:v>
      </x:c>
      <x:c r="B2" s="24" t="str">
        <x:v>UMN Crowd Activity</x:v>
      </x:c>
      <x:c r="C2" s="24" t="str">
        <x:v>Baseline motion anomaly</x:v>
      </x:c>
      <x:c r="D2" s="24" t="str">
        <x:v>Normal walking then collective escape</x:v>
      </x:c>
      <x:c r="E2" s="24" t="str">
        <x:v>Official academic benchmark</x:v>
      </x:c>
      <x:c r="F2" s="24" t="str">
        <x:v>https://www.crcv.ucf.edu/projects/Abnormal_Crowd/</x:v>
      </x:c>
      <x:c r="G2" s="24" t="str">
        <x:v>Research benchmark; retain attribution</x:v>
      </x:c>
      <x:c r="H2" s="24" t="str">
        <x:v>Low</x:v>
      </x:c>
      <x:c r="I2" s="24" t="str">
        <x:v>Downloaded</x:v>
      </x:c>
      <x:c r="J2" s="24" t="str">
        <x:v>Approve</x:v>
      </x:c>
      <x:c r="K2" s="24" t="str">
        <x:v>Use for High Risk motion validation only; not a real stampede label</x:v>
      </x:c>
      <x:c r="L2" s="24" t="str">
        <x:v>Fixed overhead / mixed</x:v>
      </x:c>
      <x:c r="M2" s="24" t="str">
        <x:v>Moderate density then collective escape</x:v>
      </x:c>
      <x:c r="N2" s="24" t="str">
        <x:v>High Risk only</x:v>
      </x:c>
      <x:c r="O2" s="24" t="str">
        <x:v>Keep</x:v>
      </x:c>
    </x:row>
    <x:row r="3" ht="44" customHeight="1">
      <x:c r="A3" s="24" t="str">
        <x:v>EVD-01</x:v>
      </x:c>
      <x:c r="B3" s="24" t="str">
        <x:v>Evacuation Videos Database</x:v>
      </x:c>
      <x:c r="C3" s="24" t="str">
        <x:v>Find non-graphic evacuation examples</x:v>
      </x:c>
      <x:c r="D3" s="24" t="str">
        <x:v>Emergency evacuation and crowd behaviour</x:v>
      </x:c>
      <x:c r="E3" s="24" t="str">
        <x:v>Research dataset</x:v>
      </x:c>
      <x:c r="F3" s="24" t="str">
        <x:v>https://figshare.com/articles/dataset/Evacuation_Videos_Database/6974321</x:v>
      </x:c>
      <x:c r="G3" s="24" t="str">
        <x:v>Figshare record is CC BY 4.0; preserve attribution and do not redistribute source footage</x:v>
      </x:c>
      <x:c r="H3" s="24" t="str">
        <x:v>Variable</x:v>
      </x:c>
      <x:c r="I3" s="24" t="str">
        <x:v>Not downloaded</x:v>
      </x:c>
      <x:c r="J3" s="24" t="str">
        <x:v>Approve</x:v>
      </x:c>
      <x:c r="K3" s="24" t="str">
        <x:v>Select only reviewed pre-incident/onset clips</x:v>
      </x:c>
      <x:c r="L3" s="24" t="str">
        <x:v>Mixed</x:v>
      </x:c>
      <x:c r="M3" s="24" t="str">
        <x:v>Mixed; review clip-by-clip</x:v>
      </x:c>
      <x:c r="N3" s="24" t="str">
        <x:v>Normal to High Risk</x:v>
      </x:c>
      <x:c r="O3" s="24" t="str">
        <x:v>Keep after review</x:v>
      </x:c>
    </x:row>
    <x:row r="4" ht="44" customHeight="1">
      <x:c r="A4" s="24" t="str">
        <x:v>DRILL-01</x:v>
      </x:c>
      <x:c r="B4" s="24" t="str">
        <x:v>GPD Riot Drill 2009</x:v>
      </x:c>
      <x:c r="C4" s="24" t="str">
        <x:v>Flow/egress control baseline</x:v>
      </x:c>
      <x:c r="D4" s="24" t="str">
        <x:v>Organised crowd-control drill</x:v>
      </x:c>
      <x:c r="E4" s="24" t="str">
        <x:v>Wikimedia Commons</x:v>
      </x:c>
      <x:c r="F4" s="24" t="str">
        <x:v>https://commons.wikimedia.org/wiki/File:GPD_RIOT_DRILL_2009.webm</x:v>
      </x:c>
      <x:c r="G4" s="24" t="str">
        <x:v>CC BY 3.0; attribute SOFISINTOWN</x:v>
      </x:c>
      <x:c r="H4" s="24" t="str">
        <x:v>Low</x:v>
      </x:c>
      <x:c r="I4" s="24" t="str">
        <x:v>Not downloaded</x:v>
      </x:c>
      <x:c r="J4" s="24" t="str">
        <x:v>Approve</x:v>
      </x:c>
      <x:c r="K4" s="24" t="str">
        <x:v>Useful only as controlled-drill data, not crowd-crush evidence</x:v>
      </x:c>
      <x:c r="L4" s="24" t="str">
        <x:v>Likely ground level</x:v>
      </x:c>
      <x:c r="M4" s="24" t="str">
        <x:v>Organised drill</x:v>
      </x:c>
      <x:c r="N4" s="24" t="str">
        <x:v>Normal / Moderate</x:v>
      </x:c>
      <x:c r="O4" s="24" t="str">
        <x:v>Keep</x:v>
      </x:c>
    </x:row>
    <x:row r="5" ht="44" customHeight="1">
      <x:c r="A5" s="24" t="str">
        <x:v>YTN-01</x:v>
      </x:c>
      <x:c r="B5" s="24" t="str">
        <x:v>Itaewon news/CCTV report</x:v>
      </x:c>
      <x:c r="C5" s="24" t="str">
        <x:v>Case-study reference only</x:v>
      </x:c>
      <x:c r="D5" s="24" t="str">
        <x:v>Reported pushing and crowd crush reconstruction</x:v>
      </x:c>
      <x:c r="E5" s="24" t="str">
        <x:v>Verified news YouTube channel</x:v>
      </x:c>
      <x:c r="F5" s="24" t="str">
        <x:v>https://www.youtube.com/watch?v=CmjnJX5dwaM</x:v>
      </x:c>
      <x:c r="G5" s="24" t="str">
        <x:v>Copyrighted news material; no download/use without permission</x:v>
      </x:c>
      <x:c r="H5" s="24" t="str">
        <x:v>High</x:v>
      </x:c>
      <x:c r="I5" s="24" t="str">
        <x:v>Not downloaded</x:v>
      </x:c>
      <x:c r="J5" s="24" t="str">
        <x:v>Reference only</x:v>
      </x:c>
      <x:c r="K5" s="24" t="str">
        <x:v>Do not use if graphic or if rights cannot be cleared</x:v>
      </x:c>
      <x:c r="L5" s="24" t="str">
        <x:v>News/CCTV report</x:v>
      </x:c>
      <x:c r="M5" s="24" t="str">
        <x:v>Severe crowd crush</x:v>
      </x:c>
      <x:c r="N5" s="24" t="str">
        <x:v>No training label</x:v>
      </x:c>
      <x:c r="O5" s="24" t="str">
        <x:v>Do not download</x:v>
      </x:c>
    </x:row>
    <x:row r="6" ht="44" customHeight="1">
      <x:c r="A6" s="24" t="str">
        <x:v>AP-01</x:v>
      </x:c>
      <x:c r="B6" s="24" t="str">
        <x:v>Itaewon CCTV / forensic reporting</x:v>
      </x:c>
      <x:c r="C6" s="24" t="str">
        <x:v>Context and density reference</x:v>
      </x:c>
      <x:c r="D6" s="24" t="str">
        <x:v>Crowd-crush investigation; reporting says 180+ videos were analysed</x:v>
      </x:c>
      <x:c r="E6" s="24" t="str">
        <x:v>Associated Press report</x:v>
      </x:c>
      <x:c r="F6" s="24" t="str">
        <x:v>https://apnews.com/article/33331e09fecf4dd321d72c9d5dc92eff</x:v>
      </x:c>
      <x:c r="G6" s="24" t="str">
        <x:v>Article/reference only; footage not licensed</x:v>
      </x:c>
      <x:c r="H6" s="24" t="str">
        <x:v>Medium</x:v>
      </x:c>
      <x:c r="I6" s="24" t="str">
        <x:v>Not downloadable</x:v>
      </x:c>
      <x:c r="J6" s="24" t="str">
        <x:v>Reference only</x:v>
      </x:c>
      <x:c r="K6" s="24" t="str">
        <x:v>Use only for project background and calibration discussion</x:v>
      </x:c>
      <x:c r="L6" s="24" t="str">
        <x:v>N/A</x:v>
      </x:c>
      <x:c r="M6" s="24" t="str">
        <x:v>Reported crowd density evidence</x:v>
      </x:c>
      <x:c r="N6" s="24" t="str">
        <x:v>No training label</x:v>
      </x:c>
      <x:c r="O6" s="24" t="str">
        <x:v>Keep as citation only</x:v>
      </x:c>
    </x:row>
    <x:row r="7" ht="44" customHeight="1">
      <x:c r="A7" s="24" t="str">
        <x:v>AP-02</x:v>
      </x:c>
      <x:c r="B7" s="24" t="str">
        <x:v>Maha Kumbh incident reporting</x:v>
      </x:c>
      <x:c r="C7" s="24" t="str">
        <x:v>Recent case-study reference</x:v>
      </x:c>
      <x:c r="D7" s="24" t="str">
        <x:v>Large-gathering crowd loss of control</x:v>
      </x:c>
      <x:c r="E7" s="24" t="str">
        <x:v>Associated Press report</x:v>
      </x:c>
      <x:c r="F7" s="24" t="str">
        <x:v>https://www.ap.org/news-highlights/spotlights/2025/police-say-at-least-30-people-have-died-in-a-stampede-at-the-massive-maha-kumbh-festival-in-india/</x:v>
      </x:c>
      <x:c r="G7" s="24" t="str">
        <x:v>Article/reference only; footage not licensed</x:v>
      </x:c>
      <x:c r="H7" s="24" t="str">
        <x:v>High</x:v>
      </x:c>
      <x:c r="I7" s="24" t="str">
        <x:v>Not downloadable</x:v>
      </x:c>
      <x:c r="J7" s="24" t="str">
        <x:v>Reference only</x:v>
      </x:c>
      <x:c r="K7" s="24" t="str">
        <x:v>Do not source graphic footage from this event</x:v>
      </x:c>
      <x:c r="L7" s="24" t="str">
        <x:v>N/A</x:v>
      </x:c>
      <x:c r="M7" s="24" t="str">
        <x:v>Reported crowd loss of control</x:v>
      </x:c>
      <x:c r="N7" s="24" t="str">
        <x:v>No training label</x:v>
      </x:c>
      <x:c r="O7" s="24" t="str">
        <x:v>Keep as citation only</x:v>
      </x:c>
    </x:row>
    <x:row r="8" ht="44" customHeight="1">
      <x:c r="A8" s="24" t="str">
        <x:v>PEX-01</x:v>
      </x:c>
      <x:c r="B8" s="24" t="str">
        <x:v>Aerial outdoor concert</x:v>
      </x:c>
      <x:c r="C8" s="24" t="str">
        <x:v>Dense crowd and geometry baseline</x:v>
      </x:c>
      <x:c r="D8" s="24" t="str">
        <x:v>Large concert audience</x:v>
      </x:c>
      <x:c r="E8" s="24" t="str">
        <x:v>Pexels stock video</x:v>
      </x:c>
      <x:c r="F8" s="24" t="str">
        <x:v>https://www.pexels.com/video/a-large-crowd-of-people-gathered-in-front-of-a-stage-17758188/</x:v>
      </x:c>
      <x:c r="G8" s="24" t="str">
        <x:v>Pexels free licence; retain source record</x:v>
      </x:c>
      <x:c r="H8" s="24" t="str">
        <x:v>Low</x:v>
      </x:c>
      <x:c r="I8" s="24" t="str">
        <x:v>Not downloaded</x:v>
      </x:c>
      <x:c r="J8" s="24" t="str">
        <x:v>Approve</x:v>
      </x:c>
      <x:c r="K8" s="24" t="str">
        <x:v>Strong overhead view and 41-second duration</x:v>
      </x:c>
      <x:c r="L8" s="24" t="str">
        <x:v>Aerial / overhead</x:v>
      </x:c>
      <x:c r="M8" s="24" t="str">
        <x:v>Dense but orderly</x:v>
      </x:c>
      <x:c r="N8" s="24" t="str">
        <x:v>Moderate</x:v>
      </x:c>
      <x:c r="O8" s="24" t="str">
        <x:v>High value</x:v>
      </x:c>
    </x:row>
    <x:row r="9" ht="44" customHeight="1">
      <x:c r="A9" s="24" t="str">
        <x:v>PEX-02</x:v>
      </x:c>
      <x:c r="B9" s="24" t="str">
        <x:v>Outdoor concert crowd</x:v>
      </x:c>
      <x:c r="C9" s="24" t="str">
        <x:v>Short normal/moderate baseline</x:v>
      </x:c>
      <x:c r="D9" s="24" t="str">
        <x:v>Concert audience</x:v>
      </x:c>
      <x:c r="E9" s="24" t="str">
        <x:v>Pexels stock video</x:v>
      </x:c>
      <x:c r="F9" s="24" t="str">
        <x:v>https://www.pexels.com/video/crowd-on-concert-in-city-13658613/</x:v>
      </x:c>
      <x:c r="G9" s="24" t="str">
        <x:v>Pexels free licence; retain source record</x:v>
      </x:c>
      <x:c r="H9" s="24" t="str">
        <x:v>Low</x:v>
      </x:c>
      <x:c r="I9" s="24" t="str">
        <x:v>Not downloaded</x:v>
      </x:c>
      <x:c r="J9" s="24" t="str">
        <x:v>Approve</x:v>
      </x:c>
      <x:c r="K9" s="24" t="str">
        <x:v>Only 9 seconds, so use as small augmentation</x:v>
      </x:c>
      <x:c r="L9" s="24" t="str">
        <x:v>Ground / wide</x:v>
      </x:c>
      <x:c r="M9" s="24" t="str">
        <x:v>Orderly concert crowd</x:v>
      </x:c>
      <x:c r="N9" s="24" t="str">
        <x:v>Normal / Moderate</x:v>
      </x:c>
      <x:c r="O9" s="24" t="str">
        <x:v>Useful but short</x:v>
      </x:c>
    </x:row>
    <x:row r="10" ht="44" customHeight="1">
      <x:c r="A10" s="24" t="str">
        <x:v>FOOT-01</x:v>
      </x:c>
      <x:c r="B10" s="24" t="str">
        <x:v>Football supporters</x:v>
      </x:c>
      <x:c r="C10" s="24" t="str">
        <x:v>Sports-crowd baseline</x:v>
      </x:c>
      <x:c r="D10" s="24" t="str">
        <x:v>Crowd of football supporters</x:v>
      </x:c>
      <x:c r="E10" s="24" t="str">
        <x:v>Wikimedia Commons</x:v>
      </x:c>
      <x:c r="F10" s="24" t="str">
        <x:v>https://commons.wikimedia.org/wiki/File:Football_supporters.webm</x:v>
      </x:c>
      <x:c r="G10" s="24" t="str">
        <x:v>CC BY 2.0 stated; page notes licence review is still needed</x:v>
      </x:c>
      <x:c r="H10" s="24" t="str">
        <x:v>Low</x:v>
      </x:c>
      <x:c r="I10" s="24" t="str">
        <x:v>Not downloaded</x:v>
      </x:c>
      <x:c r="J10" s="24" t="str">
        <x:v>Pending</x:v>
      </x:c>
      <x:c r="K10" s="24" t="str">
        <x:v>Technically useful, but manually verify licensing note before keeping</x:v>
      </x:c>
      <x:c r="L10" s="24" t="str">
        <x:v>Ground / crowd-facing</x:v>
      </x:c>
      <x:c r="M10" s="24" t="str">
        <x:v>Supporters in stadium context</x:v>
      </x:c>
      <x:c r="N10" s="24" t="str">
        <x:v>Normal / Moderate</x:v>
      </x:c>
      <x:c r="O10" s="24" t="str">
        <x:v>Review licence note</x:v>
      </x:c>
    </x:row>
    <x:row r="11" ht="44" customHeight="1">
      <x:c r="A11" s="24" t="str">
        <x:v>APM-01</x:v>
      </x:c>
      <x:c r="B11" s="24" t="str">
        <x:v>Argentina fans greet Messi</x:v>
      </x:c>
      <x:c r="C11" s="24" t="str">
        <x:v>Extreme-scale event reference</x:v>
      </x:c>
      <x:c r="D11" s="24" t="str">
        <x:v>Hundreds of thousands gather for World Cup celebration</x:v>
      </x:c>
      <x:c r="E11" s="24" t="str">
        <x:v>Associated Press YouTube</x:v>
      </x:c>
      <x:c r="F11" s="24" t="str">
        <x:v>https://www.youtube.com/watch?v=QF5s5-ZS-JQ</x:v>
      </x:c>
      <x:c r="G11" s="24" t="str">
        <x:v>Copyrighted news footage; no download/use without permission</x:v>
      </x:c>
      <x:c r="H11" s="24" t="str">
        <x:v>Low</x:v>
      </x:c>
      <x:c r="I11" s="24" t="str">
        <x:v>Not downloaded</x:v>
      </x:c>
      <x:c r="J11" s="24" t="str">
        <x:v>Reference only</x:v>
      </x:c>
      <x:c r="K11" s="24" t="str">
        <x:v>Excellent scenario relevance, but not reusable training material</x:v>
      </x:c>
      <x:c r="L11" s="24" t="str">
        <x:v>Live wide broadcast</x:v>
      </x:c>
      <x:c r="M11" s="24" t="str">
        <x:v>Very large celebratory crowd</x:v>
      </x:c>
      <x:c r="N11" s="24" t="str">
        <x:v>No training label</x:v>
      </x:c>
      <x:c r="O11" s="24" t="str">
        <x:v>Use as case-study inspiration only</x:v>
      </x:c>
    </x:row>
  </x:sheetData>
  <x:conditionalFormatting sqref="J2:J11">
    <x:cfRule type="containsText" dxfId="0" priority="1" operator="containsText" text="Approve"/>
    <x:cfRule type="containsText" dxfId="1" priority="2" operator="containsText" text="Reject"/>
    <x:cfRule type="containsText" dxfId="2" priority="3" operator="containsText" text="Pending"/>
  </x:conditionalFormatting>
  <x:dataValidations count="1">
    <x:dataValidation type="list" sqref="J2:J100">
      <x:formula1>"Pending,Approve,Reject,Reference only"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c9551b0a9a4dae"/>
  </x:tableParts>
</x:worksheet>
</file>